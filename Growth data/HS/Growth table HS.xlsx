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S/"/>
    </mc:Choice>
  </mc:AlternateContent>
  <xr:revisionPtr revIDLastSave="18" documentId="11_F25DC773A252ABDACC1048F9095C4AEE5ADE58F3" xr6:coauthVersionLast="47" xr6:coauthVersionMax="47" xr10:uidLastSave="{408CDEEC-9253-40C3-BC68-66745FC350F7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C40" i="1"/>
  <c r="B41" i="1"/>
  <c r="B44" i="1" s="1"/>
  <c r="B45" i="1" s="1"/>
  <c r="C41" i="1"/>
  <c r="C44" i="1" s="1"/>
  <c r="C45" i="1" s="1"/>
  <c r="B42" i="1"/>
  <c r="C42" i="1"/>
  <c r="B43" i="1"/>
  <c r="C43" i="1"/>
  <c r="D43" i="1"/>
  <c r="D42" i="1"/>
  <c r="D41" i="1"/>
  <c r="D44" i="1" s="1"/>
  <c r="D45" i="1" s="1"/>
  <c r="D40" i="1"/>
</calcChain>
</file>

<file path=xl/sharedStrings.xml><?xml version="1.0" encoding="utf-8"?>
<sst xmlns="http://schemas.openxmlformats.org/spreadsheetml/2006/main" count="50" uniqueCount="10">
  <si>
    <t>HS</t>
  </si>
  <si>
    <t>HS SM</t>
  </si>
  <si>
    <t>HS YEP</t>
  </si>
  <si>
    <t>HS YEP +TE</t>
  </si>
  <si>
    <t>0 hours</t>
  </si>
  <si>
    <t>24 hours</t>
  </si>
  <si>
    <t>48 hours</t>
  </si>
  <si>
    <t>72 hours</t>
  </si>
  <si>
    <t>GR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</si>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</sst>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R47" sqref="A1:XFD1048576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 s="1" t="s">
        <v>4</v>
      </c>
      <c r="B2">
        <v>0.30199999999999999</v>
      </c>
      <c r="C2">
        <v>0.34300000000000003</v>
      </c>
      <c r="D2">
        <v>0.29199999999999998</v>
      </c>
    </row>
    <row r="3" spans="1:4" x14ac:dyDescent="0.25">
      <c r="A3" s="1" t="s">
        <v>4</v>
      </c>
      <c r="B3">
        <v>0.30299999999999999</v>
      </c>
      <c r="C3">
        <v>0.34899999999999998</v>
      </c>
      <c r="D3">
        <v>0.29399999999999998</v>
      </c>
    </row>
    <row r="4" spans="1:4" x14ac:dyDescent="0.25">
      <c r="A4" s="1" t="s">
        <v>4</v>
      </c>
      <c r="B4">
        <v>0.28999999999999998</v>
      </c>
      <c r="C4">
        <v>0.33900000000000002</v>
      </c>
      <c r="D4">
        <v>0.29399999999999998</v>
      </c>
    </row>
    <row r="5" spans="1:4" x14ac:dyDescent="0.25">
      <c r="A5" s="1" t="s">
        <v>4</v>
      </c>
      <c r="B5">
        <v>0.318</v>
      </c>
      <c r="C5">
        <v>0.26900000000000002</v>
      </c>
      <c r="D5">
        <v>0.39100000000000001</v>
      </c>
    </row>
    <row r="6" spans="1:4" x14ac:dyDescent="0.25">
      <c r="A6" s="1" t="s">
        <v>4</v>
      </c>
      <c r="B6">
        <v>0.32100000000000001</v>
      </c>
      <c r="C6">
        <v>0.26300000000000001</v>
      </c>
      <c r="D6">
        <v>0.39</v>
      </c>
    </row>
    <row r="7" spans="1:4" x14ac:dyDescent="0.25">
      <c r="A7" s="1" t="s">
        <v>4</v>
      </c>
      <c r="B7">
        <v>0.318</v>
      </c>
      <c r="C7">
        <v>0.26600000000000001</v>
      </c>
      <c r="D7">
        <v>0.38700000000000001</v>
      </c>
    </row>
    <row r="8" spans="1:4" x14ac:dyDescent="0.25">
      <c r="A8" s="1" t="s">
        <v>4</v>
      </c>
      <c r="B8">
        <v>0.27400000000000002</v>
      </c>
      <c r="C8">
        <v>0.27300000000000002</v>
      </c>
      <c r="D8">
        <v>0.32700000000000001</v>
      </c>
    </row>
    <row r="9" spans="1:4" x14ac:dyDescent="0.25">
      <c r="A9" s="1" t="s">
        <v>4</v>
      </c>
      <c r="B9">
        <v>0.29299999999999998</v>
      </c>
      <c r="C9">
        <v>0.28299999999999997</v>
      </c>
      <c r="D9">
        <v>0.34100000000000003</v>
      </c>
    </row>
    <row r="10" spans="1:4" x14ac:dyDescent="0.25">
      <c r="A10" s="1" t="s">
        <v>4</v>
      </c>
      <c r="B10">
        <v>0.28999999999999998</v>
      </c>
      <c r="C10">
        <v>0.28699999999999998</v>
      </c>
      <c r="D10">
        <v>0.34499999999999997</v>
      </c>
    </row>
    <row r="11" spans="1:4" x14ac:dyDescent="0.25">
      <c r="A11" s="1" t="s">
        <v>5</v>
      </c>
      <c r="B11">
        <v>1.77</v>
      </c>
      <c r="C11">
        <v>1.639</v>
      </c>
      <c r="D11">
        <v>1.927</v>
      </c>
    </row>
    <row r="12" spans="1:4" x14ac:dyDescent="0.25">
      <c r="A12" s="1" t="s">
        <v>5</v>
      </c>
      <c r="B12">
        <v>1.794</v>
      </c>
      <c r="C12">
        <v>1.694</v>
      </c>
      <c r="D12">
        <v>1.8460000000000001</v>
      </c>
    </row>
    <row r="13" spans="1:4" x14ac:dyDescent="0.25">
      <c r="A13" s="1" t="s">
        <v>5</v>
      </c>
      <c r="B13">
        <v>1.7789999999999999</v>
      </c>
      <c r="C13">
        <v>1.7270000000000001</v>
      </c>
      <c r="D13">
        <v>1.86</v>
      </c>
    </row>
    <row r="14" spans="1:4" x14ac:dyDescent="0.25">
      <c r="A14" s="1" t="s">
        <v>5</v>
      </c>
      <c r="B14">
        <v>1.4</v>
      </c>
      <c r="C14">
        <v>1.526</v>
      </c>
      <c r="D14">
        <v>1.716</v>
      </c>
    </row>
    <row r="15" spans="1:4" x14ac:dyDescent="0.25">
      <c r="A15" s="1" t="s">
        <v>5</v>
      </c>
      <c r="B15">
        <v>1.4730000000000001</v>
      </c>
      <c r="C15">
        <v>1.5760000000000001</v>
      </c>
      <c r="D15">
        <v>1.726</v>
      </c>
    </row>
    <row r="16" spans="1:4" x14ac:dyDescent="0.25">
      <c r="A16" s="1" t="s">
        <v>5</v>
      </c>
      <c r="B16">
        <v>1.518</v>
      </c>
      <c r="C16">
        <v>1.5880000000000001</v>
      </c>
      <c r="D16">
        <v>1.7430000000000001</v>
      </c>
    </row>
    <row r="17" spans="1:4" x14ac:dyDescent="0.25">
      <c r="A17" s="1" t="s">
        <v>5</v>
      </c>
      <c r="B17">
        <v>1.3859999999999999</v>
      </c>
      <c r="C17">
        <v>1.663</v>
      </c>
      <c r="D17">
        <v>1.831</v>
      </c>
    </row>
    <row r="18" spans="1:4" x14ac:dyDescent="0.25">
      <c r="A18" s="1" t="s">
        <v>5</v>
      </c>
      <c r="B18">
        <v>1.448</v>
      </c>
      <c r="C18">
        <v>1.7410000000000001</v>
      </c>
      <c r="D18">
        <v>1.8420000000000001</v>
      </c>
    </row>
    <row r="19" spans="1:4" x14ac:dyDescent="0.25">
      <c r="A19" s="1" t="s">
        <v>5</v>
      </c>
      <c r="B19">
        <v>1.4770000000000001</v>
      </c>
      <c r="C19">
        <v>1.8049999999999999</v>
      </c>
      <c r="D19">
        <v>1.8240000000000001</v>
      </c>
    </row>
    <row r="20" spans="1:4" x14ac:dyDescent="0.25">
      <c r="A20" s="1" t="s">
        <v>6</v>
      </c>
      <c r="B20">
        <v>1.6439999999999999</v>
      </c>
      <c r="C20">
        <v>1.732</v>
      </c>
      <c r="D20">
        <v>2.2610000000000001</v>
      </c>
    </row>
    <row r="21" spans="1:4" x14ac:dyDescent="0.25">
      <c r="A21" s="1" t="s">
        <v>6</v>
      </c>
      <c r="B21">
        <v>1.6619999999999999</v>
      </c>
      <c r="C21">
        <v>1.7689999999999999</v>
      </c>
      <c r="D21">
        <v>2.3109999999999999</v>
      </c>
    </row>
    <row r="22" spans="1:4" x14ac:dyDescent="0.25">
      <c r="A22" s="1" t="s">
        <v>6</v>
      </c>
      <c r="B22">
        <v>1.6459999999999999</v>
      </c>
      <c r="C22">
        <v>1.746</v>
      </c>
      <c r="D22">
        <v>2.294</v>
      </c>
    </row>
    <row r="23" spans="1:4" x14ac:dyDescent="0.25">
      <c r="A23" s="1" t="s">
        <v>6</v>
      </c>
      <c r="B23">
        <v>1.407</v>
      </c>
      <c r="C23">
        <v>1.704</v>
      </c>
      <c r="D23">
        <v>2.069</v>
      </c>
    </row>
    <row r="24" spans="1:4" x14ac:dyDescent="0.25">
      <c r="A24" s="1" t="s">
        <v>6</v>
      </c>
      <c r="B24">
        <v>1.4039999999999999</v>
      </c>
      <c r="C24">
        <v>1.7769999999999999</v>
      </c>
      <c r="D24">
        <v>2.1030000000000002</v>
      </c>
    </row>
    <row r="25" spans="1:4" x14ac:dyDescent="0.25">
      <c r="A25" s="1" t="s">
        <v>6</v>
      </c>
      <c r="B25">
        <v>1.4379999999999999</v>
      </c>
      <c r="C25">
        <v>1.7829999999999999</v>
      </c>
      <c r="D25">
        <v>2.1309999999999998</v>
      </c>
    </row>
    <row r="26" spans="1:4" x14ac:dyDescent="0.25">
      <c r="A26" s="1" t="s">
        <v>6</v>
      </c>
      <c r="B26">
        <v>1.6850000000000001</v>
      </c>
      <c r="C26">
        <v>1.7549999999999999</v>
      </c>
      <c r="D26">
        <v>2.0329999999999999</v>
      </c>
    </row>
    <row r="27" spans="1:4" x14ac:dyDescent="0.25">
      <c r="A27" s="1" t="s">
        <v>6</v>
      </c>
      <c r="B27">
        <v>1.7270000000000001</v>
      </c>
      <c r="C27">
        <v>1.74</v>
      </c>
      <c r="D27">
        <v>1.9810000000000001</v>
      </c>
    </row>
    <row r="28" spans="1:4" x14ac:dyDescent="0.25">
      <c r="A28" s="1" t="s">
        <v>6</v>
      </c>
      <c r="B28">
        <v>1.738</v>
      </c>
      <c r="C28">
        <v>1.7410000000000001</v>
      </c>
      <c r="D28">
        <v>2.0059999999999998</v>
      </c>
    </row>
    <row r="29" spans="1:4" x14ac:dyDescent="0.25">
      <c r="A29" s="1" t="s">
        <v>7</v>
      </c>
      <c r="B29">
        <v>1.5009999999999999</v>
      </c>
      <c r="C29">
        <v>1.91</v>
      </c>
      <c r="D29">
        <v>2.1269999999999998</v>
      </c>
    </row>
    <row r="30" spans="1:4" x14ac:dyDescent="0.25">
      <c r="A30" s="1" t="s">
        <v>7</v>
      </c>
      <c r="B30">
        <v>1.5</v>
      </c>
      <c r="C30">
        <v>1.8959999999999999</v>
      </c>
      <c r="D30">
        <v>2.1240000000000001</v>
      </c>
    </row>
    <row r="31" spans="1:4" x14ac:dyDescent="0.25">
      <c r="A31" s="1" t="s">
        <v>7</v>
      </c>
      <c r="B31">
        <v>1.5049999999999999</v>
      </c>
      <c r="C31">
        <v>1.86</v>
      </c>
      <c r="D31">
        <v>2.113</v>
      </c>
    </row>
    <row r="32" spans="1:4" x14ac:dyDescent="0.25">
      <c r="A32" s="1" t="s">
        <v>7</v>
      </c>
      <c r="B32">
        <v>1.5009999999999999</v>
      </c>
      <c r="C32">
        <v>1.863</v>
      </c>
      <c r="D32">
        <v>2.0379999999999998</v>
      </c>
    </row>
    <row r="33" spans="1:4" x14ac:dyDescent="0.25">
      <c r="A33" s="1" t="s">
        <v>7</v>
      </c>
      <c r="B33">
        <v>1.4650000000000001</v>
      </c>
      <c r="C33">
        <v>1.8260000000000001</v>
      </c>
      <c r="D33">
        <v>1.948</v>
      </c>
    </row>
    <row r="34" spans="1:4" x14ac:dyDescent="0.25">
      <c r="A34" s="1" t="s">
        <v>7</v>
      </c>
      <c r="B34">
        <v>1.444</v>
      </c>
      <c r="C34">
        <v>1.835</v>
      </c>
      <c r="D34">
        <v>1.9470000000000001</v>
      </c>
    </row>
    <row r="35" spans="1:4" x14ac:dyDescent="0.25">
      <c r="A35" s="1" t="s">
        <v>7</v>
      </c>
      <c r="B35">
        <v>1.5680000000000001</v>
      </c>
      <c r="C35">
        <v>1.68</v>
      </c>
      <c r="D35">
        <v>1.964</v>
      </c>
    </row>
    <row r="36" spans="1:4" x14ac:dyDescent="0.25">
      <c r="A36" s="1" t="s">
        <v>7</v>
      </c>
      <c r="B36">
        <v>1.5660000000000001</v>
      </c>
      <c r="C36">
        <v>1.7170000000000001</v>
      </c>
      <c r="D36">
        <v>1.9630000000000001</v>
      </c>
    </row>
    <row r="37" spans="1:4" x14ac:dyDescent="0.25">
      <c r="A37" s="1" t="s">
        <v>7</v>
      </c>
      <c r="B37">
        <v>1.552</v>
      </c>
      <c r="C37">
        <v>1.768</v>
      </c>
      <c r="D37">
        <v>1.9650000000000001</v>
      </c>
    </row>
    <row r="39" spans="1:4" x14ac:dyDescent="0.25">
      <c r="A39" t="s">
        <v>0</v>
      </c>
      <c r="B39" t="s">
        <v>2</v>
      </c>
      <c r="C39" t="s">
        <v>3</v>
      </c>
      <c r="D39" t="s">
        <v>1</v>
      </c>
    </row>
    <row r="40" spans="1:4" x14ac:dyDescent="0.25">
      <c r="A40" s="1" t="s">
        <v>4</v>
      </c>
      <c r="B40" s="1">
        <f t="shared" ref="B40:C40" si="0">AVERAGE(B2:B10)</f>
        <v>0.30100000000000005</v>
      </c>
      <c r="C40" s="1">
        <f t="shared" si="0"/>
        <v>0.29688888888888887</v>
      </c>
      <c r="D40" s="1">
        <f>AVERAGE(D2:D10)</f>
        <v>0.34011111111111109</v>
      </c>
    </row>
    <row r="41" spans="1:4" x14ac:dyDescent="0.25">
      <c r="A41" s="1" t="s">
        <v>5</v>
      </c>
      <c r="B41" s="1">
        <f t="shared" ref="B41:C41" si="1">AVERAGE(B11:B19)</f>
        <v>1.5605555555555557</v>
      </c>
      <c r="C41" s="1">
        <f t="shared" si="1"/>
        <v>1.6621111111111111</v>
      </c>
      <c r="D41" s="1">
        <f>AVERAGE(D11:D19)</f>
        <v>1.8127777777777778</v>
      </c>
    </row>
    <row r="42" spans="1:4" x14ac:dyDescent="0.25">
      <c r="A42" s="1" t="s">
        <v>6</v>
      </c>
      <c r="B42" s="1">
        <f t="shared" ref="B42:C42" si="2">AVERAGE(B20:B28)</f>
        <v>1.5945555555555557</v>
      </c>
      <c r="C42" s="1">
        <f t="shared" si="2"/>
        <v>1.7496666666666665</v>
      </c>
      <c r="D42" s="1">
        <f>AVERAGE(D20:D28)</f>
        <v>2.1321111111111111</v>
      </c>
    </row>
    <row r="43" spans="1:4" x14ac:dyDescent="0.25">
      <c r="A43" s="1" t="s">
        <v>7</v>
      </c>
      <c r="B43" s="1">
        <f t="shared" ref="B43:C43" si="3">AVERAGE(B29:B37)</f>
        <v>1.5113333333333334</v>
      </c>
      <c r="C43" s="1">
        <f t="shared" si="3"/>
        <v>1.8172222222222223</v>
      </c>
      <c r="D43" s="1">
        <f>AVERAGE(D29:D37)</f>
        <v>2.0209999999999999</v>
      </c>
    </row>
    <row r="44" spans="1:4" x14ac:dyDescent="0.25">
      <c r="A44" s="1" t="s">
        <v>8</v>
      </c>
      <c r="B44" s="1">
        <f t="shared" ref="B44:C44" si="4">(LN(B41/B40))/24</f>
        <v>6.8570287393885362E-2</v>
      </c>
      <c r="C44" s="1">
        <f t="shared" si="4"/>
        <v>7.1770244571580197E-2</v>
      </c>
      <c r="D44" s="1">
        <f>(LN(D41/D40))/24</f>
        <v>6.9722636253417028E-2</v>
      </c>
    </row>
    <row r="45" spans="1:4" x14ac:dyDescent="0.25">
      <c r="A45" s="1" t="s">
        <v>9</v>
      </c>
      <c r="B45" s="1">
        <f t="shared" ref="B45:C45" si="5">(LN(2))/B44</f>
        <v>10.108564611641915</v>
      </c>
      <c r="C45" s="1">
        <f t="shared" si="5"/>
        <v>9.6578628747549207</v>
      </c>
      <c r="D45" s="1">
        <f>(LN(2))/D44</f>
        <v>9.9414941517787909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2026-02-02T15:23:04Z</dcterms:modified>
</cp:coreProperties>
</file>